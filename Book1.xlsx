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13FE336-ADAA-4F37-B2F4-9D4DEE8BD0A1}" xr6:coauthVersionLast="47" xr6:coauthVersionMax="47" xr10:uidLastSave="{00000000-0000-0000-0000-000000000000}"/>
  <bookViews>
    <workbookView xWindow="-120" yWindow="-16320" windowWidth="29040" windowHeight="15720" xr2:uid="{D800E57D-83AD-4F5A-9F2B-567569CB1367}"/>
  </bookViews>
  <sheets>
    <sheet name="Sheet" sheetId="1" r:id="rId1"/>
    <sheet name="Answer Report 1" sheetId="3" r:id="rId2"/>
    <sheet name="Sensitivity Report 1" sheetId="4" r:id="rId3"/>
    <sheet name="Limits Report 1" sheetId="5" r:id="rId4"/>
    <sheet name="Sheet1" sheetId="2" r:id="rId5"/>
  </sheets>
  <definedNames>
    <definedName name="solver_adj" localSheetId="0" hidden="1">Sheet!$B$2:$D$2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ng" localSheetId="4" hidden="1">1</definedName>
    <definedName name="solver_est" localSheetId="0" hidden="1">1</definedName>
    <definedName name="solver_itr" localSheetId="0" hidden="1">1000</definedName>
    <definedName name="solver_lhs1" localSheetId="0" hidden="1">Sheet!$E$10</definedName>
    <definedName name="solver_lhs2" localSheetId="0" hidden="1">Sheet!$E$11</definedName>
    <definedName name="solver_lhs3" localSheetId="0" hidden="1">Sheet!$E$8</definedName>
    <definedName name="solver_lhs4" localSheetId="0" hidden="1">Sheet!$E$9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4" hidden="1">1</definedName>
    <definedName name="solver_nod" localSheetId="0" hidden="1">2147483647</definedName>
    <definedName name="solver_num" localSheetId="0" hidden="1">4</definedName>
    <definedName name="solver_num" localSheetId="4" hidden="1">0</definedName>
    <definedName name="solver_nwt" localSheetId="0" hidden="1">1</definedName>
    <definedName name="solver_opt" localSheetId="0" hidden="1">Sheet!$E$5</definedName>
    <definedName name="solver_opt" localSheetId="4" hidden="1">Sheet1!$G$14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Sheet!$G$10</definedName>
    <definedName name="solver_rhs2" localSheetId="0" hidden="1">Sheet!$G$11</definedName>
    <definedName name="solver_rhs3" localSheetId="0" hidden="1">Sheet!$G$8</definedName>
    <definedName name="solver_rhs4" localSheetId="0" hidden="1">Sheet!$G$9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3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typ" localSheetId="4" hidden="1">1</definedName>
    <definedName name="solver_val" localSheetId="0" hidden="1">0</definedName>
    <definedName name="solver_val" localSheetId="4" hidden="1">0</definedName>
    <definedName name="solver_ver" localSheetId="0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2" i="2"/>
  <c r="O6" i="1"/>
  <c r="O9" i="1"/>
  <c r="O12" i="1"/>
  <c r="O13" i="1"/>
  <c r="O14" i="1"/>
  <c r="O15" i="1"/>
  <c r="E2" i="1"/>
  <c r="E5" i="1"/>
  <c r="E8" i="1"/>
  <c r="E9" i="1"/>
  <c r="E10" i="1"/>
  <c r="E11" i="1"/>
</calcChain>
</file>

<file path=xl/sharedStrings.xml><?xml version="1.0" encoding="utf-8"?>
<sst xmlns="http://schemas.openxmlformats.org/spreadsheetml/2006/main" count="196" uniqueCount="106">
  <si>
    <t>Laptop (DL)</t>
  </si>
  <si>
    <t>Tablet (DT)</t>
  </si>
  <si>
    <t>Smartphone (DS)</t>
  </si>
  <si>
    <t>Total</t>
  </si>
  <si>
    <t>Constraints</t>
  </si>
  <si>
    <t>Decision Variables (Days)</t>
  </si>
  <si>
    <t>Objective: Profit/Day</t>
  </si>
  <si>
    <t>Total Profit (Z)</t>
  </si>
  <si>
    <t>(Set Objective)</t>
  </si>
  <si>
    <t>LHS</t>
  </si>
  <si>
    <t>RHS</t>
  </si>
  <si>
    <t>Time Used (days)</t>
  </si>
  <si>
    <t>&lt;=</t>
  </si>
  <si>
    <t>Storage Used (ft³)</t>
  </si>
  <si>
    <t>Laptop Min. (days)</t>
  </si>
  <si>
    <t>&gt;=</t>
  </si>
  <si>
    <t>Tablet Min. (days)</t>
  </si>
  <si>
    <t>Set Objective</t>
  </si>
  <si>
    <t>Prod</t>
  </si>
  <si>
    <t>Laptop Covers</t>
  </si>
  <si>
    <t>Tablet Covers</t>
  </si>
  <si>
    <t>Smartphone covers</t>
  </si>
  <si>
    <t>Profit per unit $</t>
  </si>
  <si>
    <t>Daily prod rate in units per day</t>
  </si>
  <si>
    <t>Storage per 1000 units cubic feet</t>
  </si>
  <si>
    <t>Storage per unit in cubic feet</t>
  </si>
  <si>
    <t>Objective</t>
  </si>
  <si>
    <t>Decision Vars</t>
  </si>
  <si>
    <t>Producit</t>
  </si>
  <si>
    <t>Units / week</t>
  </si>
  <si>
    <t>Smartphone Covers</t>
  </si>
  <si>
    <t>Maximize profit =&gt;</t>
  </si>
  <si>
    <t>Prod Schedule</t>
  </si>
  <si>
    <t>Laptop Cover</t>
  </si>
  <si>
    <t>Tablet covers</t>
  </si>
  <si>
    <t>Storage space</t>
  </si>
  <si>
    <t>≤</t>
  </si>
  <si>
    <t>≥</t>
  </si>
  <si>
    <t>days</t>
  </si>
  <si>
    <t>units</t>
  </si>
  <si>
    <t>sqrd feet</t>
  </si>
  <si>
    <t>Microsoft Excel 16.0 Answer Report</t>
  </si>
  <si>
    <t>Worksheet: [Book1.xlsx]SheetDraft</t>
  </si>
  <si>
    <t>Report Created: 2025-11-15 11:20:44 PM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</si>
  <si>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</si>
  <si>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</si>
  <si>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</si>
  <si>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</si>
  <si>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1 Subproblems: 0</t>
  </si>
  <si>
    <t>Solver Options</t>
  </si>
  <si>
    <t>Max Time Unlimited,  Iterations 1000,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</si>
  <si>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</si>
  <si>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</si>
  <si>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</si>
  <si>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</si>
  <si>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</si>
  <si>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</si>
  <si>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</si>
  <si>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</si>
  <si>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</si>
  <si>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</si>
  <si>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</si>
  <si>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</si>
  <si>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$E$5</t>
  </si>
  <si>
    <t>Total Profit (Z) Total</t>
  </si>
  <si>
    <t>$B$2</t>
  </si>
  <si>
    <t>Decision Variables (Days) Laptop (DL)</t>
  </si>
  <si>
    <t>Contin</t>
  </si>
  <si>
    <t>$C$2</t>
  </si>
  <si>
    <t>Decision Variables (Days) Tablet (DT)</t>
  </si>
  <si>
    <t>$D$2</t>
  </si>
  <si>
    <t>Decision Variables (Days) Smartphone (DS)</t>
  </si>
  <si>
    <t>$E$10</t>
  </si>
  <si>
    <t>Laptop Min. (days) RHS</t>
  </si>
  <si>
    <t>$E$10&lt;=$G$10</t>
  </si>
  <si>
    <t>Not Binding</t>
  </si>
  <si>
    <t>$E$11</t>
  </si>
  <si>
    <t>Tablet Min. (days) RHS</t>
  </si>
  <si>
    <t>$E$11&lt;=$G$11</t>
  </si>
  <si>
    <t>$E$8</t>
  </si>
  <si>
    <t>Time Used (days) RHS</t>
  </si>
  <si>
    <t>$E$8&lt;=$G$8</t>
  </si>
  <si>
    <t>Binding</t>
  </si>
  <si>
    <t>$E$9</t>
  </si>
  <si>
    <t>Storage Used (ft³) RHS</t>
  </si>
  <si>
    <t>$E$9&lt;=$G$9</t>
  </si>
  <si>
    <t>$B$2:$D$2</t>
  </si>
  <si>
    <t>Microsoft Excel 16.0 Sensitivity Report</t>
  </si>
  <si>
    <t>Final</t>
  </si>
  <si>
    <t>Value</t>
  </si>
  <si>
    <t>Reduced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</si>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</sst>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7"/>
      <color rgb="FF111111"/>
      <name val="Arial"/>
      <family val="2"/>
    </font>
    <font>
      <b/>
      <sz val="17"/>
      <color rgb="FF3C51B4"/>
      <name val="Arial"/>
      <family val="2"/>
    </font>
    <font>
      <b/>
      <sz val="11"/>
      <color indexed="1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164" fontId="0" fillId="0" borderId="5" xfId="0" applyNumberFormat="1" applyFill="1" applyBorder="1" applyAlignment="1"/>
    <xf numFmtId="164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4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0" fontId="5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DE7F-CBC3-4B41-B7BE-57659AA62682}">
  <dimension ref="A1:P15"/>
  <sheetViews>
    <sheetView tabSelected="1" workbookViewId="0">
      <selection activeCell="A12" sqref="A12"/>
    </sheetView>
  </sheetViews>
  <sheetFormatPr defaultRowHeight="14.6" x14ac:dyDescent="0.4"/>
  <cols>
    <col min="1" max="1" width="24.15234375" bestFit="1" customWidth="1"/>
    <col min="2" max="3" width="8.53515625" bestFit="1" customWidth="1"/>
    <col min="4" max="4" width="11.3828125" bestFit="1" customWidth="1"/>
    <col min="5" max="5" width="10.53515625" bestFit="1" customWidth="1"/>
    <col min="6" max="6" width="16" bestFit="1" customWidth="1"/>
    <col min="7" max="7" width="5.3828125" bestFit="1" customWidth="1"/>
    <col min="8" max="8" width="11.15234375" bestFit="1" customWidth="1"/>
    <col min="11" max="11" width="24.15234375" bestFit="1" customWidth="1"/>
    <col min="12" max="12" width="11" bestFit="1" customWidth="1"/>
    <col min="13" max="13" width="10.53515625" bestFit="1" customWidth="1"/>
    <col min="14" max="14" width="16" bestFit="1" customWidth="1"/>
    <col min="15" max="15" width="7" bestFit="1" customWidth="1"/>
    <col min="16" max="16" width="12.15234375" bestFit="1" customWidth="1"/>
  </cols>
  <sheetData>
    <row r="1" spans="1:16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6" x14ac:dyDescent="0.4">
      <c r="A2" t="s">
        <v>5</v>
      </c>
      <c r="B2" s="1">
        <v>0</v>
      </c>
      <c r="C2" s="1">
        <v>0</v>
      </c>
      <c r="D2" s="1">
        <v>5</v>
      </c>
      <c r="E2">
        <f>SUM(B2:D2)</f>
        <v>5</v>
      </c>
    </row>
    <row r="4" spans="1:16" x14ac:dyDescent="0.4">
      <c r="A4" t="s">
        <v>6</v>
      </c>
      <c r="B4">
        <v>40000</v>
      </c>
      <c r="C4">
        <v>40000</v>
      </c>
      <c r="D4">
        <v>70000</v>
      </c>
    </row>
    <row r="5" spans="1:16" x14ac:dyDescent="0.4">
      <c r="A5" t="s">
        <v>7</v>
      </c>
      <c r="E5">
        <f>SUMPRODUCT(B2:D2,B4:D4)</f>
        <v>350000</v>
      </c>
      <c r="F5" t="s">
        <v>8</v>
      </c>
      <c r="L5" t="s">
        <v>0</v>
      </c>
      <c r="M5" t="s">
        <v>1</v>
      </c>
      <c r="N5" t="s">
        <v>2</v>
      </c>
      <c r="O5" t="s">
        <v>3</v>
      </c>
    </row>
    <row r="6" spans="1:16" x14ac:dyDescent="0.4">
      <c r="K6" t="s">
        <v>5</v>
      </c>
      <c r="L6">
        <v>0.75</v>
      </c>
      <c r="M6">
        <v>0.8</v>
      </c>
      <c r="N6">
        <v>3.45</v>
      </c>
      <c r="O6" s="1">
        <f>SUM(B2:D2)</f>
        <v>5</v>
      </c>
    </row>
    <row r="7" spans="1:16" x14ac:dyDescent="0.4">
      <c r="A7" t="s">
        <v>4</v>
      </c>
      <c r="D7" t="s">
        <v>9</v>
      </c>
      <c r="E7" t="s">
        <v>10</v>
      </c>
    </row>
    <row r="8" spans="1:16" x14ac:dyDescent="0.4">
      <c r="A8" t="s">
        <v>11</v>
      </c>
      <c r="B8">
        <v>1</v>
      </c>
      <c r="C8">
        <v>1</v>
      </c>
      <c r="D8">
        <v>1</v>
      </c>
      <c r="E8">
        <f>SUMPRODUCT(B2:D2,B8:D8)</f>
        <v>5</v>
      </c>
      <c r="F8" t="s">
        <v>12</v>
      </c>
      <c r="G8">
        <v>5</v>
      </c>
      <c r="K8" t="s">
        <v>6</v>
      </c>
      <c r="L8">
        <v>40000</v>
      </c>
      <c r="M8">
        <v>40000</v>
      </c>
      <c r="N8">
        <v>70000</v>
      </c>
    </row>
    <row r="9" spans="1:16" x14ac:dyDescent="0.4">
      <c r="A9" t="s">
        <v>13</v>
      </c>
      <c r="B9">
        <v>480</v>
      </c>
      <c r="C9">
        <v>150</v>
      </c>
      <c r="D9">
        <v>280</v>
      </c>
      <c r="E9">
        <f>SUMPRODUCT(B2:D2,B9:D9)</f>
        <v>1400</v>
      </c>
      <c r="F9" t="s">
        <v>12</v>
      </c>
      <c r="G9">
        <v>8000</v>
      </c>
      <c r="K9" t="s">
        <v>7</v>
      </c>
      <c r="O9">
        <f>SUMPRODUCT(B2:D2,B4:D4)</f>
        <v>350000</v>
      </c>
      <c r="P9" t="s">
        <v>17</v>
      </c>
    </row>
    <row r="10" spans="1:16" x14ac:dyDescent="0.4">
      <c r="A10" t="s">
        <v>14</v>
      </c>
      <c r="B10">
        <v>1</v>
      </c>
      <c r="C10">
        <v>0</v>
      </c>
      <c r="D10">
        <v>0</v>
      </c>
      <c r="E10">
        <f>SUMPRODUCT(B2:D2,B10:D10)</f>
        <v>0</v>
      </c>
      <c r="F10" t="s">
        <v>15</v>
      </c>
      <c r="G10">
        <v>0.75</v>
      </c>
    </row>
    <row r="11" spans="1:16" x14ac:dyDescent="0.4">
      <c r="A11" t="s">
        <v>16</v>
      </c>
      <c r="B11">
        <v>0</v>
      </c>
      <c r="C11">
        <v>1</v>
      </c>
      <c r="D11">
        <v>0</v>
      </c>
      <c r="E11">
        <f>SUMPRODUCT(B2:D2,B11:D11)</f>
        <v>0</v>
      </c>
      <c r="F11" t="s">
        <v>15</v>
      </c>
      <c r="G11">
        <v>0.8</v>
      </c>
      <c r="K11" t="s">
        <v>4</v>
      </c>
      <c r="O11" t="s">
        <v>9</v>
      </c>
    </row>
    <row r="12" spans="1:16" x14ac:dyDescent="0.4">
      <c r="K12" t="s">
        <v>11</v>
      </c>
      <c r="L12">
        <v>1</v>
      </c>
      <c r="M12">
        <v>1</v>
      </c>
      <c r="N12">
        <v>1</v>
      </c>
      <c r="O12">
        <f>SUMPRODUCT(B2:D2,B8:D8)</f>
        <v>5</v>
      </c>
      <c r="P12" t="s">
        <v>12</v>
      </c>
    </row>
    <row r="13" spans="1:16" x14ac:dyDescent="0.4">
      <c r="K13" t="s">
        <v>13</v>
      </c>
      <c r="L13">
        <v>480</v>
      </c>
      <c r="M13">
        <v>150</v>
      </c>
      <c r="N13">
        <v>280</v>
      </c>
      <c r="O13">
        <f>SUMPRODUCT(B2:D2,B9:D9)</f>
        <v>1400</v>
      </c>
      <c r="P13" t="s">
        <v>12</v>
      </c>
    </row>
    <row r="14" spans="1:16" x14ac:dyDescent="0.4">
      <c r="K14" t="s">
        <v>14</v>
      </c>
      <c r="L14">
        <v>1</v>
      </c>
      <c r="M14">
        <v>0</v>
      </c>
      <c r="N14">
        <v>0</v>
      </c>
      <c r="O14">
        <f>SUMPRODUCT(B2:D2,B10:D10)</f>
        <v>0</v>
      </c>
      <c r="P14" t="s">
        <v>15</v>
      </c>
    </row>
    <row r="15" spans="1:16" x14ac:dyDescent="0.4">
      <c r="K15" t="s">
        <v>16</v>
      </c>
      <c r="L15">
        <v>0</v>
      </c>
      <c r="M15">
        <v>1</v>
      </c>
      <c r="N15">
        <v>0</v>
      </c>
      <c r="O15">
        <f>SUMPRODUCT(B2:D2,B11:D11)</f>
        <v>0</v>
      </c>
      <c r="P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570E-C6B2-4324-B669-169D28BE912C}">
  <dimension ref="A1:G33"/>
  <sheetViews>
    <sheetView showGridLines="0" workbookViewId="0"/>
  </sheetViews>
  <sheetFormatPr defaultRowHeight="14.6" outlineLevelRow="1" x14ac:dyDescent="0.4"/>
  <cols>
    <col min="1" max="1" width="2.23046875" customWidth="1"/>
    <col min="2" max="2" width="5.84375" bestFit="1" customWidth="1"/>
    <col min="3" max="3" width="37.61328125" bestFit="1" customWidth="1"/>
    <col min="4" max="4" width="12.765625" bestFit="1" customWidth="1"/>
    <col min="5" max="5" width="13.23046875" bestFit="1" customWidth="1"/>
    <col min="6" max="6" width="10.61328125" bestFit="1" customWidth="1"/>
    <col min="7" max="7" width="5.4609375" bestFit="1" customWidth="1"/>
  </cols>
  <sheetData>
    <row r="1" spans="1:5" x14ac:dyDescent="0.4">
      <c r="A1" s="2" t="s">
        <v>41</v>
      </c>
    </row>
    <row r="2" spans="1:5" x14ac:dyDescent="0.4">
      <c r="A2" s="2" t="s">
        <v>42</v>
      </c>
    </row>
    <row r="3" spans="1:5" x14ac:dyDescent="0.4">
      <c r="A3" s="2" t="s">
        <v>43</v>
      </c>
    </row>
    <row r="4" spans="1:5" x14ac:dyDescent="0.4">
      <c r="A4" s="2" t="s">
        <v>44</v>
      </c>
    </row>
    <row r="5" spans="1:5" x14ac:dyDescent="0.4">
      <c r="A5" s="2" t="s">
        <v>45</v>
      </c>
    </row>
    <row r="6" spans="1:5" hidden="1" outlineLevel="1" x14ac:dyDescent="0.4">
      <c r="A6" s="2"/>
      <c r="B6" t="s">
        <v>46</v>
      </c>
    </row>
    <row r="7" spans="1:5" hidden="1" outlineLevel="1" x14ac:dyDescent="0.4">
      <c r="A7" s="2"/>
      <c r="B7" t="s">
        <v>47</v>
      </c>
    </row>
    <row r="8" spans="1:5" hidden="1" outlineLevel="1" x14ac:dyDescent="0.4">
      <c r="A8" s="2"/>
      <c r="B8" t="s">
        <v>48</v>
      </c>
    </row>
    <row r="9" spans="1:5" collapsed="1" x14ac:dyDescent="0.4">
      <c r="A9" s="2" t="s">
        <v>49</v>
      </c>
    </row>
    <row r="10" spans="1:5" hidden="1" outlineLevel="1" x14ac:dyDescent="0.4">
      <c r="B10" t="s">
        <v>50</v>
      </c>
    </row>
    <row r="11" spans="1:5" hidden="1" outlineLevel="1" x14ac:dyDescent="0.4">
      <c r="B11" t="s">
        <v>51</v>
      </c>
    </row>
    <row r="12" spans="1:5" collapsed="1" x14ac:dyDescent="0.4"/>
    <row r="14" spans="1:5" ht="15" thickBot="1" x14ac:dyDescent="0.45">
      <c r="A14" t="s">
        <v>52</v>
      </c>
    </row>
    <row r="15" spans="1:5" ht="15" thickBot="1" x14ac:dyDescent="0.45">
      <c r="B15" s="6" t="s">
        <v>53</v>
      </c>
      <c r="C15" s="6" t="s">
        <v>54</v>
      </c>
      <c r="D15" s="6" t="s">
        <v>55</v>
      </c>
      <c r="E15" s="6" t="s">
        <v>56</v>
      </c>
    </row>
    <row r="16" spans="1:5" ht="15" thickBot="1" x14ac:dyDescent="0.45">
      <c r="B16" s="5" t="s">
        <v>63</v>
      </c>
      <c r="C16" s="5" t="s">
        <v>64</v>
      </c>
      <c r="D16" s="9">
        <v>350000</v>
      </c>
      <c r="E16" s="9">
        <v>350000</v>
      </c>
    </row>
    <row r="19" spans="1:7" ht="15" thickBot="1" x14ac:dyDescent="0.45">
      <c r="A19" t="s">
        <v>57</v>
      </c>
    </row>
    <row r="20" spans="1:7" ht="15" thickBot="1" x14ac:dyDescent="0.45">
      <c r="B20" s="6" t="s">
        <v>53</v>
      </c>
      <c r="C20" s="6" t="s">
        <v>54</v>
      </c>
      <c r="D20" s="6" t="s">
        <v>55</v>
      </c>
      <c r="E20" s="6" t="s">
        <v>56</v>
      </c>
      <c r="F20" s="6" t="s">
        <v>58</v>
      </c>
    </row>
    <row r="21" spans="1:7" x14ac:dyDescent="0.4">
      <c r="B21" s="15" t="s">
        <v>86</v>
      </c>
      <c r="C21" s="13"/>
      <c r="D21" s="13"/>
      <c r="E21" s="13"/>
      <c r="F21" s="13"/>
    </row>
    <row r="22" spans="1:7" hidden="1" outlineLevel="1" x14ac:dyDescent="0.4">
      <c r="B22" s="8" t="s">
        <v>65</v>
      </c>
      <c r="C22" s="8" t="s">
        <v>66</v>
      </c>
      <c r="D22" s="10">
        <v>0</v>
      </c>
      <c r="E22" s="10">
        <v>0</v>
      </c>
      <c r="F22" s="8" t="s">
        <v>67</v>
      </c>
    </row>
    <row r="23" spans="1:7" hidden="1" outlineLevel="1" x14ac:dyDescent="0.4">
      <c r="B23" s="8" t="s">
        <v>68</v>
      </c>
      <c r="C23" s="8" t="s">
        <v>69</v>
      </c>
      <c r="D23" s="10">
        <v>0</v>
      </c>
      <c r="E23" s="10">
        <v>0</v>
      </c>
      <c r="F23" s="8" t="s">
        <v>67</v>
      </c>
    </row>
    <row r="24" spans="1:7" ht="15" hidden="1" outlineLevel="1" thickBot="1" x14ac:dyDescent="0.45">
      <c r="B24" s="5" t="s">
        <v>70</v>
      </c>
      <c r="C24" s="5" t="s">
        <v>71</v>
      </c>
      <c r="D24" s="11">
        <v>5</v>
      </c>
      <c r="E24" s="11">
        <v>5</v>
      </c>
      <c r="F24" s="5" t="s">
        <v>67</v>
      </c>
    </row>
    <row r="25" spans="1:7" collapsed="1" x14ac:dyDescent="0.4">
      <c r="B25" s="7"/>
      <c r="C25" s="7"/>
      <c r="D25" s="14"/>
      <c r="E25" s="14"/>
      <c r="F25" s="7"/>
    </row>
    <row r="28" spans="1:7" ht="15" thickBot="1" x14ac:dyDescent="0.45">
      <c r="A28" t="s">
        <v>4</v>
      </c>
    </row>
    <row r="29" spans="1:7" ht="15" thickBot="1" x14ac:dyDescent="0.45">
      <c r="B29" s="6" t="s">
        <v>53</v>
      </c>
      <c r="C29" s="6" t="s">
        <v>54</v>
      </c>
      <c r="D29" s="6" t="s">
        <v>59</v>
      </c>
      <c r="E29" s="6" t="s">
        <v>60</v>
      </c>
      <c r="F29" s="6" t="s">
        <v>61</v>
      </c>
      <c r="G29" s="6" t="s">
        <v>62</v>
      </c>
    </row>
    <row r="30" spans="1:7" x14ac:dyDescent="0.4">
      <c r="B30" s="8" t="s">
        <v>72</v>
      </c>
      <c r="C30" s="8" t="s">
        <v>73</v>
      </c>
      <c r="D30" s="12">
        <v>0</v>
      </c>
      <c r="E30" s="8" t="s">
        <v>74</v>
      </c>
      <c r="F30" s="8" t="s">
        <v>75</v>
      </c>
      <c r="G30" s="8">
        <v>0.75</v>
      </c>
    </row>
    <row r="31" spans="1:7" x14ac:dyDescent="0.4">
      <c r="B31" s="8" t="s">
        <v>76</v>
      </c>
      <c r="C31" s="8" t="s">
        <v>77</v>
      </c>
      <c r="D31" s="12">
        <v>0</v>
      </c>
      <c r="E31" s="8" t="s">
        <v>78</v>
      </c>
      <c r="F31" s="8" t="s">
        <v>75</v>
      </c>
      <c r="G31" s="8">
        <v>0.8</v>
      </c>
    </row>
    <row r="32" spans="1:7" x14ac:dyDescent="0.4">
      <c r="B32" s="8" t="s">
        <v>79</v>
      </c>
      <c r="C32" s="8" t="s">
        <v>80</v>
      </c>
      <c r="D32" s="12">
        <v>5</v>
      </c>
      <c r="E32" s="8" t="s">
        <v>81</v>
      </c>
      <c r="F32" s="8" t="s">
        <v>82</v>
      </c>
      <c r="G32" s="8">
        <v>0</v>
      </c>
    </row>
    <row r="33" spans="2:7" ht="15" thickBot="1" x14ac:dyDescent="0.45">
      <c r="B33" s="5" t="s">
        <v>83</v>
      </c>
      <c r="C33" s="5" t="s">
        <v>84</v>
      </c>
      <c r="D33" s="9">
        <v>1400</v>
      </c>
      <c r="E33" s="5" t="s">
        <v>85</v>
      </c>
      <c r="F33" s="5" t="s">
        <v>75</v>
      </c>
      <c r="G33" s="5">
        <v>6600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4DD3-D421-4F89-9156-8A2D9F6BFBFB}">
  <dimension ref="A1:H21"/>
  <sheetViews>
    <sheetView showGridLines="0" workbookViewId="0"/>
  </sheetViews>
  <sheetFormatPr defaultRowHeight="14.6" outlineLevelRow="1" x14ac:dyDescent="0.4"/>
  <cols>
    <col min="1" max="1" width="2.23046875" customWidth="1"/>
    <col min="2" max="2" width="5.84375" bestFit="1" customWidth="1"/>
    <col min="3" max="3" width="37.61328125" bestFit="1" customWidth="1"/>
    <col min="4" max="4" width="5.61328125" bestFit="1" customWidth="1"/>
    <col min="5" max="5" width="8.4609375" bestFit="1" customWidth="1"/>
    <col min="6" max="6" width="10.61328125" bestFit="1" customWidth="1"/>
    <col min="7" max="7" width="11.84375" bestFit="1" customWidth="1"/>
    <col min="8" max="8" width="9.07421875" bestFit="1" customWidth="1"/>
  </cols>
  <sheetData>
    <row r="1" spans="1:8" x14ac:dyDescent="0.4">
      <c r="A1" s="2" t="s">
        <v>87</v>
      </c>
    </row>
    <row r="2" spans="1:8" x14ac:dyDescent="0.4">
      <c r="A2" s="2" t="s">
        <v>42</v>
      </c>
    </row>
    <row r="3" spans="1:8" x14ac:dyDescent="0.4">
      <c r="A3" s="2" t="s">
        <v>43</v>
      </c>
    </row>
    <row r="6" spans="1:8" ht="15" thickBot="1" x14ac:dyDescent="0.45">
      <c r="A6" t="s">
        <v>57</v>
      </c>
    </row>
    <row r="7" spans="1:8" x14ac:dyDescent="0.4">
      <c r="B7" s="16"/>
      <c r="C7" s="16"/>
      <c r="D7" s="16" t="s">
        <v>88</v>
      </c>
      <c r="E7" s="16" t="s">
        <v>90</v>
      </c>
      <c r="F7" s="16" t="s">
        <v>26</v>
      </c>
      <c r="G7" s="16" t="s">
        <v>93</v>
      </c>
      <c r="H7" s="16" t="s">
        <v>93</v>
      </c>
    </row>
    <row r="8" spans="1:8" ht="15" thickBot="1" x14ac:dyDescent="0.45">
      <c r="B8" s="17" t="s">
        <v>53</v>
      </c>
      <c r="C8" s="17" t="s">
        <v>54</v>
      </c>
      <c r="D8" s="17" t="s">
        <v>89</v>
      </c>
      <c r="E8" s="17" t="s">
        <v>91</v>
      </c>
      <c r="F8" s="17" t="s">
        <v>92</v>
      </c>
      <c r="G8" s="17" t="s">
        <v>94</v>
      </c>
      <c r="H8" s="17" t="s">
        <v>95</v>
      </c>
    </row>
    <row r="9" spans="1:8" x14ac:dyDescent="0.4">
      <c r="B9" s="15" t="s">
        <v>86</v>
      </c>
      <c r="C9" s="13"/>
      <c r="D9" s="13"/>
      <c r="E9" s="13"/>
      <c r="F9" s="13"/>
      <c r="G9" s="13"/>
      <c r="H9" s="13"/>
    </row>
    <row r="10" spans="1:8" hidden="1" outlineLevel="1" x14ac:dyDescent="0.4">
      <c r="B10" s="8" t="s">
        <v>65</v>
      </c>
      <c r="C10" s="8" t="s">
        <v>66</v>
      </c>
      <c r="D10" s="8">
        <v>0</v>
      </c>
      <c r="E10" s="8">
        <v>-30000</v>
      </c>
      <c r="F10" s="8">
        <v>40000</v>
      </c>
      <c r="G10" s="8">
        <v>30000</v>
      </c>
      <c r="H10" s="8">
        <v>1E+30</v>
      </c>
    </row>
    <row r="11" spans="1:8" hidden="1" outlineLevel="1" x14ac:dyDescent="0.4">
      <c r="B11" s="8" t="s">
        <v>68</v>
      </c>
      <c r="C11" s="8" t="s">
        <v>69</v>
      </c>
      <c r="D11" s="8">
        <v>0</v>
      </c>
      <c r="E11" s="8">
        <v>-30000</v>
      </c>
      <c r="F11" s="8">
        <v>40000</v>
      </c>
      <c r="G11" s="8">
        <v>30000</v>
      </c>
      <c r="H11" s="8">
        <v>1E+30</v>
      </c>
    </row>
    <row r="12" spans="1:8" ht="15" hidden="1" outlineLevel="1" thickBot="1" x14ac:dyDescent="0.45">
      <c r="B12" s="5" t="s">
        <v>70</v>
      </c>
      <c r="C12" s="5" t="s">
        <v>71</v>
      </c>
      <c r="D12" s="5">
        <v>5</v>
      </c>
      <c r="E12" s="5">
        <v>0</v>
      </c>
      <c r="F12" s="5">
        <v>70000</v>
      </c>
      <c r="G12" s="5">
        <v>1E+30</v>
      </c>
      <c r="H12" s="5">
        <v>30000</v>
      </c>
    </row>
    <row r="13" spans="1:8" collapsed="1" x14ac:dyDescent="0.4">
      <c r="B13" s="7"/>
      <c r="C13" s="7"/>
      <c r="D13" s="7"/>
      <c r="E13" s="7"/>
      <c r="F13" s="7"/>
      <c r="G13" s="7"/>
      <c r="H13" s="7"/>
    </row>
    <row r="15" spans="1:8" ht="15" thickBot="1" x14ac:dyDescent="0.45">
      <c r="A15" t="s">
        <v>4</v>
      </c>
    </row>
    <row r="16" spans="1:8" x14ac:dyDescent="0.4">
      <c r="B16" s="16"/>
      <c r="C16" s="16"/>
      <c r="D16" s="16" t="s">
        <v>88</v>
      </c>
      <c r="E16" s="16" t="s">
        <v>96</v>
      </c>
      <c r="F16" s="16" t="s">
        <v>98</v>
      </c>
      <c r="G16" s="16" t="s">
        <v>93</v>
      </c>
      <c r="H16" s="16" t="s">
        <v>93</v>
      </c>
    </row>
    <row r="17" spans="2:8" ht="15" thickBot="1" x14ac:dyDescent="0.45">
      <c r="B17" s="17" t="s">
        <v>53</v>
      </c>
      <c r="C17" s="17" t="s">
        <v>54</v>
      </c>
      <c r="D17" s="17" t="s">
        <v>89</v>
      </c>
      <c r="E17" s="17" t="s">
        <v>97</v>
      </c>
      <c r="F17" s="17" t="s">
        <v>99</v>
      </c>
      <c r="G17" s="17" t="s">
        <v>94</v>
      </c>
      <c r="H17" s="17" t="s">
        <v>95</v>
      </c>
    </row>
    <row r="18" spans="2:8" x14ac:dyDescent="0.4">
      <c r="B18" s="8" t="s">
        <v>72</v>
      </c>
      <c r="C18" s="8" t="s">
        <v>73</v>
      </c>
      <c r="D18" s="8">
        <v>0</v>
      </c>
      <c r="E18" s="8">
        <v>0</v>
      </c>
      <c r="F18" s="8">
        <v>0.75</v>
      </c>
      <c r="G18" s="8">
        <v>1E+30</v>
      </c>
      <c r="H18" s="8">
        <v>0.75</v>
      </c>
    </row>
    <row r="19" spans="2:8" x14ac:dyDescent="0.4">
      <c r="B19" s="8" t="s">
        <v>76</v>
      </c>
      <c r="C19" s="8" t="s">
        <v>77</v>
      </c>
      <c r="D19" s="8">
        <v>0</v>
      </c>
      <c r="E19" s="8">
        <v>0</v>
      </c>
      <c r="F19" s="8">
        <v>0.8</v>
      </c>
      <c r="G19" s="8">
        <v>1E+30</v>
      </c>
      <c r="H19" s="8">
        <v>0.8</v>
      </c>
    </row>
    <row r="20" spans="2:8" x14ac:dyDescent="0.4">
      <c r="B20" s="8" t="s">
        <v>79</v>
      </c>
      <c r="C20" s="8" t="s">
        <v>80</v>
      </c>
      <c r="D20" s="8">
        <v>5</v>
      </c>
      <c r="E20" s="8">
        <v>70000</v>
      </c>
      <c r="F20" s="8">
        <v>5</v>
      </c>
      <c r="G20" s="8">
        <v>23.571428571428573</v>
      </c>
      <c r="H20" s="8">
        <v>5</v>
      </c>
    </row>
    <row r="21" spans="2:8" ht="15" thickBot="1" x14ac:dyDescent="0.45">
      <c r="B21" s="5" t="s">
        <v>83</v>
      </c>
      <c r="C21" s="5" t="s">
        <v>84</v>
      </c>
      <c r="D21" s="5">
        <v>1400</v>
      </c>
      <c r="E21" s="5">
        <v>0</v>
      </c>
      <c r="F21" s="5">
        <v>8000</v>
      </c>
      <c r="G21" s="5">
        <v>1E+30</v>
      </c>
      <c r="H21" s="5">
        <v>6600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A461-C3C9-47B6-8394-3C207AD89184}">
  <dimension ref="A1:J17"/>
  <sheetViews>
    <sheetView showGridLines="0" workbookViewId="0"/>
  </sheetViews>
  <sheetFormatPr defaultRowHeight="14.6" outlineLevelRow="1" x14ac:dyDescent="0.4"/>
  <cols>
    <col min="1" max="1" width="2.23046875" customWidth="1"/>
    <col min="2" max="2" width="5.07421875" bestFit="1" customWidth="1"/>
    <col min="3" max="3" width="37.61328125" bestFit="1" customWidth="1"/>
    <col min="4" max="4" width="6.84375" bestFit="1" customWidth="1"/>
    <col min="5" max="5" width="2.23046875" customWidth="1"/>
    <col min="6" max="6" width="6.3828125" bestFit="1" customWidth="1"/>
    <col min="7" max="7" width="11.3828125" bestFit="1" customWidth="1"/>
    <col min="8" max="8" width="2.23046875" customWidth="1"/>
    <col min="9" max="9" width="6.3828125" bestFit="1" customWidth="1"/>
    <col min="10" max="10" width="11.3828125" bestFit="1" customWidth="1"/>
  </cols>
  <sheetData>
    <row r="1" spans="1:10" x14ac:dyDescent="0.4">
      <c r="A1" s="2" t="s">
        <v>100</v>
      </c>
    </row>
    <row r="2" spans="1:10" x14ac:dyDescent="0.4">
      <c r="A2" s="2" t="s">
        <v>42</v>
      </c>
    </row>
    <row r="3" spans="1:10" x14ac:dyDescent="0.4">
      <c r="A3" s="2" t="s">
        <v>43</v>
      </c>
    </row>
    <row r="5" spans="1:10" ht="15" thickBot="1" x14ac:dyDescent="0.45"/>
    <row r="6" spans="1:10" x14ac:dyDescent="0.4">
      <c r="B6" s="16"/>
      <c r="C6" s="16" t="s">
        <v>26</v>
      </c>
      <c r="D6" s="16"/>
    </row>
    <row r="7" spans="1:10" ht="15" thickBot="1" x14ac:dyDescent="0.45">
      <c r="B7" s="17" t="s">
        <v>53</v>
      </c>
      <c r="C7" s="17" t="s">
        <v>54</v>
      </c>
      <c r="D7" s="17" t="s">
        <v>89</v>
      </c>
    </row>
    <row r="8" spans="1:10" ht="15" thickBot="1" x14ac:dyDescent="0.45">
      <c r="B8" s="5" t="s">
        <v>63</v>
      </c>
      <c r="C8" s="5" t="s">
        <v>64</v>
      </c>
      <c r="D8" s="9">
        <v>350000</v>
      </c>
    </row>
    <row r="10" spans="1:10" ht="15" thickBot="1" x14ac:dyDescent="0.45"/>
    <row r="11" spans="1:10" x14ac:dyDescent="0.4">
      <c r="B11" s="16"/>
      <c r="C11" s="16" t="s">
        <v>101</v>
      </c>
      <c r="D11" s="16"/>
      <c r="F11" s="16" t="s">
        <v>102</v>
      </c>
      <c r="G11" s="16" t="s">
        <v>26</v>
      </c>
      <c r="I11" s="16" t="s">
        <v>105</v>
      </c>
      <c r="J11" s="16" t="s">
        <v>26</v>
      </c>
    </row>
    <row r="12" spans="1:10" ht="15" thickBot="1" x14ac:dyDescent="0.45">
      <c r="B12" s="17" t="s">
        <v>53</v>
      </c>
      <c r="C12" s="17" t="s">
        <v>54</v>
      </c>
      <c r="D12" s="17" t="s">
        <v>89</v>
      </c>
      <c r="F12" s="17" t="s">
        <v>103</v>
      </c>
      <c r="G12" s="17" t="s">
        <v>104</v>
      </c>
      <c r="I12" s="17" t="s">
        <v>103</v>
      </c>
      <c r="J12" s="17" t="s">
        <v>104</v>
      </c>
    </row>
    <row r="13" spans="1:10" x14ac:dyDescent="0.4">
      <c r="B13" s="15" t="s">
        <v>86</v>
      </c>
      <c r="C13" s="13"/>
      <c r="D13" s="13"/>
      <c r="F13" s="13"/>
      <c r="G13" s="13"/>
      <c r="I13" s="13"/>
      <c r="J13" s="13"/>
    </row>
    <row r="14" spans="1:10" hidden="1" outlineLevel="1" x14ac:dyDescent="0.4">
      <c r="B14" s="8" t="s">
        <v>65</v>
      </c>
      <c r="C14" s="8" t="s">
        <v>66</v>
      </c>
      <c r="D14" s="10">
        <v>0</v>
      </c>
      <c r="F14" s="10">
        <v>0</v>
      </c>
      <c r="G14" s="10">
        <v>350000</v>
      </c>
      <c r="I14" s="10">
        <v>0</v>
      </c>
      <c r="J14" s="10">
        <v>350000</v>
      </c>
    </row>
    <row r="15" spans="1:10" hidden="1" outlineLevel="1" x14ac:dyDescent="0.4">
      <c r="B15" s="8" t="s">
        <v>68</v>
      </c>
      <c r="C15" s="8" t="s">
        <v>69</v>
      </c>
      <c r="D15" s="10">
        <v>0</v>
      </c>
      <c r="F15" s="10">
        <v>0</v>
      </c>
      <c r="G15" s="10">
        <v>350000</v>
      </c>
      <c r="I15" s="10">
        <v>0</v>
      </c>
      <c r="J15" s="10">
        <v>350000</v>
      </c>
    </row>
    <row r="16" spans="1:10" ht="15" hidden="1" outlineLevel="1" thickBot="1" x14ac:dyDescent="0.45">
      <c r="B16" s="5" t="s">
        <v>70</v>
      </c>
      <c r="C16" s="5" t="s">
        <v>71</v>
      </c>
      <c r="D16" s="11">
        <v>5</v>
      </c>
      <c r="F16" s="11">
        <v>0</v>
      </c>
      <c r="G16" s="11">
        <v>0</v>
      </c>
      <c r="I16" s="11">
        <v>5</v>
      </c>
      <c r="J16" s="11">
        <v>350000</v>
      </c>
    </row>
    <row r="17" spans="2:10" collapsed="1" x14ac:dyDescent="0.4">
      <c r="B17" s="7"/>
      <c r="C17" s="7"/>
      <c r="D17" s="14"/>
      <c r="F17" s="14"/>
      <c r="G17" s="14"/>
      <c r="I17" s="14"/>
      <c r="J17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25EC-78C4-4F42-9494-6D570FC00491}">
  <dimension ref="A1:H13"/>
  <sheetViews>
    <sheetView topLeftCell="B1" workbookViewId="0">
      <selection activeCell="G14" sqref="G14"/>
    </sheetView>
  </sheetViews>
  <sheetFormatPr defaultRowHeight="14.6" x14ac:dyDescent="0.4"/>
  <cols>
    <col min="1" max="1" width="22.3046875" bestFit="1" customWidth="1"/>
    <col min="2" max="2" width="13.53515625" bestFit="1" customWidth="1"/>
    <col min="3" max="3" width="26.61328125" bestFit="1" customWidth="1"/>
    <col min="4" max="4" width="27.921875" bestFit="1" customWidth="1"/>
    <col min="5" max="5" width="24.69140625" bestFit="1" customWidth="1"/>
    <col min="7" max="7" width="17.15234375" bestFit="1" customWidth="1"/>
    <col min="8" max="8" width="10.84375" bestFit="1" customWidth="1"/>
  </cols>
  <sheetData>
    <row r="1" spans="1:8" x14ac:dyDescent="0.4">
      <c r="A1" s="2" t="s">
        <v>18</v>
      </c>
      <c r="B1" t="s">
        <v>22</v>
      </c>
      <c r="C1" t="s">
        <v>23</v>
      </c>
      <c r="D1" t="s">
        <v>24</v>
      </c>
      <c r="E1" t="s">
        <v>25</v>
      </c>
      <c r="G1" s="2" t="s">
        <v>27</v>
      </c>
    </row>
    <row r="2" spans="1:8" x14ac:dyDescent="0.4">
      <c r="A2" t="s">
        <v>19</v>
      </c>
      <c r="B2">
        <v>5</v>
      </c>
      <c r="C2">
        <v>8000</v>
      </c>
      <c r="D2">
        <v>60</v>
      </c>
      <c r="E2">
        <f>D2/1000</f>
        <v>0.06</v>
      </c>
      <c r="G2" t="s">
        <v>28</v>
      </c>
      <c r="H2" t="s">
        <v>29</v>
      </c>
    </row>
    <row r="3" spans="1:8" x14ac:dyDescent="0.4">
      <c r="A3" t="s">
        <v>20</v>
      </c>
      <c r="B3">
        <v>8</v>
      </c>
      <c r="C3">
        <v>5000</v>
      </c>
      <c r="D3">
        <v>30</v>
      </c>
      <c r="E3">
        <f t="shared" ref="E3:E4" si="0">D3/1000</f>
        <v>0.03</v>
      </c>
      <c r="G3" t="s">
        <v>19</v>
      </c>
      <c r="H3">
        <v>6000</v>
      </c>
    </row>
    <row r="4" spans="1:8" x14ac:dyDescent="0.4">
      <c r="A4" t="s">
        <v>21</v>
      </c>
      <c r="B4">
        <v>10</v>
      </c>
      <c r="C4">
        <v>7000</v>
      </c>
      <c r="D4">
        <v>40</v>
      </c>
      <c r="E4">
        <f t="shared" si="0"/>
        <v>0.04</v>
      </c>
      <c r="G4" t="s">
        <v>20</v>
      </c>
      <c r="H4">
        <v>4000</v>
      </c>
    </row>
    <row r="5" spans="1:8" x14ac:dyDescent="0.4">
      <c r="G5" t="s">
        <v>30</v>
      </c>
      <c r="H5">
        <v>21150</v>
      </c>
    </row>
    <row r="7" spans="1:8" x14ac:dyDescent="0.4">
      <c r="A7" s="2" t="s">
        <v>26</v>
      </c>
    </row>
    <row r="8" spans="1:8" x14ac:dyDescent="0.4">
      <c r="A8" t="s">
        <v>31</v>
      </c>
    </row>
    <row r="9" spans="1:8" x14ac:dyDescent="0.4">
      <c r="A9">
        <v>303500</v>
      </c>
      <c r="C9" s="2" t="s">
        <v>4</v>
      </c>
    </row>
    <row r="10" spans="1:8" ht="21.45" x14ac:dyDescent="0.5">
      <c r="C10" t="s">
        <v>32</v>
      </c>
      <c r="D10">
        <v>5</v>
      </c>
      <c r="E10" s="3" t="s">
        <v>36</v>
      </c>
      <c r="F10">
        <v>5</v>
      </c>
      <c r="G10" t="s">
        <v>38</v>
      </c>
    </row>
    <row r="11" spans="1:8" ht="21.45" x14ac:dyDescent="0.5">
      <c r="C11" t="s">
        <v>33</v>
      </c>
      <c r="D11">
        <v>6000</v>
      </c>
      <c r="E11" s="4" t="s">
        <v>37</v>
      </c>
      <c r="F11">
        <v>6000</v>
      </c>
      <c r="G11" t="s">
        <v>39</v>
      </c>
    </row>
    <row r="12" spans="1:8" ht="21.45" x14ac:dyDescent="0.5">
      <c r="C12" t="s">
        <v>34</v>
      </c>
      <c r="D12">
        <v>4000</v>
      </c>
      <c r="E12" s="4" t="s">
        <v>37</v>
      </c>
      <c r="F12">
        <v>4000</v>
      </c>
      <c r="G12" t="s">
        <v>39</v>
      </c>
    </row>
    <row r="13" spans="1:8" ht="21.45" x14ac:dyDescent="0.5">
      <c r="C13" t="s">
        <v>35</v>
      </c>
      <c r="D13">
        <v>1446</v>
      </c>
      <c r="E13" s="4" t="s">
        <v>37</v>
      </c>
      <c r="F13">
        <v>8000</v>
      </c>
      <c r="G13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C081265FA2544E92CE39F5CCC2FE26" ma:contentTypeVersion="15" ma:contentTypeDescription="Create a new document." ma:contentTypeScope="" ma:versionID="525c35a05f6fac7f2fa0976f8f88bf8b">
  <xsd:schema xmlns:xsd="http://www.w3.org/2001/XMLSchema" xmlns:xs="http://www.w3.org/2001/XMLSchema" xmlns:p="http://schemas.microsoft.com/office/2006/metadata/properties" xmlns:ns3="c07520c7-1c22-4b0f-8340-1e92b8ae9bf1" xmlns:ns4="ecc61ddb-6c6e-4e5b-9f6b-7dbd99fbfaa5" targetNamespace="http://schemas.microsoft.com/office/2006/metadata/properties" ma:root="true" ma:fieldsID="182671b63e6a1bbb961d10ea2f1dac20" ns3:_="" ns4:_="">
    <xsd:import namespace="c07520c7-1c22-4b0f-8340-1e92b8ae9bf1"/>
    <xsd:import namespace="ecc61ddb-6c6e-4e5b-9f6b-7dbd99fbfaa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520c7-1c22-4b0f-8340-1e92b8ae9bf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61ddb-6c6e-4e5b-9f6b-7dbd99fbfa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7520c7-1c22-4b0f-8340-1e92b8ae9bf1" xsi:nil="true"/>
  </documentManagement>
</p:properties>
</file>

<file path=customXml/itemProps1.xml><?xml version="1.0" encoding="utf-8"?>
<ds:datastoreItem xmlns:ds="http://schemas.openxmlformats.org/officeDocument/2006/customXml" ds:itemID="{9EE1C136-9EAA-4EB1-BD3B-8A92BC64E4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0EB69B-ADA5-4688-8FBA-4DD4CCBE4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7520c7-1c22-4b0f-8340-1e92b8ae9bf1"/>
    <ds:schemaRef ds:uri="ecc61ddb-6c6e-4e5b-9f6b-7dbd99fbfa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165BF-A1A5-4511-A276-B3274CFFAE75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cc61ddb-6c6e-4e5b-9f6b-7dbd99fbfaa5"/>
    <ds:schemaRef ds:uri="c07520c7-1c22-4b0f-8340-1e92b8ae9bf1"/>
  </ds:schemaRefs>
</ds:datastoreItem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Lauritzen</dc:creator>
  <cp:lastModifiedBy>Ethan Lauritzen</cp:lastModifiedBy>
  <dcterms:created xsi:type="dcterms:W3CDTF">2025-11-15T11:54:40Z</dcterms:created>
  <dcterms:modified xsi:type="dcterms:W3CDTF">2025-11-16T07:22:31Z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0x01010076C081265FA2544E92CE39F5CCC2FE26</vt:lpwstr>
  </property>
</Properties>
</file>